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Model" sheetId="1" state="visible" r:id="rId1"/>
    <sheet xmlns:r="http://schemas.openxmlformats.org/officeDocument/2006/relationships" name="ROI Analysi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Sources &amp;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DR Cost by Tier (INR)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'ROI Analysis'!B3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'ROI Analysis'!$A$4:$A$7</f>
            </numRef>
          </cat>
          <val>
            <numRef>
              <f>'ROI Analysis'!$B$4:$B$7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30" customWidth="1" min="3" max="3"/>
    <col width="21" customWidth="1" min="4" max="4"/>
    <col width="55" customWidth="1" min="5" max="5"/>
    <col width="17" customWidth="1" min="6" max="6"/>
    <col width="17" customWidth="1" min="7" max="7"/>
    <col width="16" customWidth="1" min="8" max="8"/>
    <col width="26" customWidth="1" min="9" max="9"/>
    <col width="18" customWidth="1" min="10" max="10"/>
    <col width="18" customWidth="1" min="11" max="11"/>
    <col width="17" customWidth="1" min="12" max="12"/>
    <col width="27" customWidth="1" min="13" max="13"/>
  </cols>
  <sheetData>
    <row r="1">
      <c r="A1" s="1" t="inlineStr">
        <is>
          <t>PaySecure Multi-Region DR Cost Model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Key Assumptions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4" t="inlineStr">
        <is>
          <t>Planning month hours</t>
        </is>
      </c>
      <c r="B4" s="4" t="n">
        <v>730</v>
      </c>
      <c r="C4" s="4" t="inlineStr">
        <is>
          <t>hours/month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4" t="inlineStr">
        <is>
          <t>USD to INR planning FX</t>
        </is>
      </c>
      <c r="B5" s="4" t="n">
        <v>85</v>
      </c>
      <c r="C5" s="4" t="inlineStr">
        <is>
          <t>editable planning assumption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4" t="inlineStr">
        <is>
          <t>Current annual infrastructure spend</t>
        </is>
      </c>
      <c r="B6" s="4" t="n">
        <v>80000000</v>
      </c>
      <c r="C6" s="4" t="inlineStr">
        <is>
          <t>INR/year; project brief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4" t="inlineStr">
        <is>
          <t>Current trailing downtime</t>
        </is>
      </c>
      <c r="B7" s="4" t="n">
        <v>7</v>
      </c>
      <c r="C7" s="4" t="inlineStr">
        <is>
          <t>hours/year; project brief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4" t="inlineStr">
        <is>
          <t>Revenue loss</t>
        </is>
      </c>
      <c r="B8" s="4" t="n">
        <v>3750000</v>
      </c>
      <c r="C8" s="4" t="inlineStr">
        <is>
          <t>INR/hour; project brief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4" t="inlineStr">
        <is>
          <t>Merchant/SLA cost allowance</t>
        </is>
      </c>
      <c r="B9" s="4" t="n">
        <v>0</v>
      </c>
      <c r="C9" s="4" t="inlineStr">
        <is>
          <t>editable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4" t="inlineStr">
        <is>
          <t>Regulatory fine allowance</t>
        </is>
      </c>
      <c r="B10" s="4" t="n">
        <v>0</v>
      </c>
      <c r="C10" s="4" t="inlineStr">
        <is>
          <t>editable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4" t="inlineStr">
        <is>
          <t>Recovery labor allowance</t>
        </is>
      </c>
      <c r="B11" s="4" t="n">
        <v>1500000</v>
      </c>
      <c r="C11" s="4" t="inlineStr">
        <is>
          <t>editable planning assumption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3" t="inlineStr">
        <is>
          <t>DR Tier Assumptions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3" t="inlineStr">
        <is>
          <t>Tier</t>
        </is>
      </c>
      <c r="B15" s="3" t="inlineStr">
        <is>
          <t>RTO (hours)</t>
        </is>
      </c>
      <c r="C15" s="3" t="inlineStr">
        <is>
          <t>RPO (hours)</t>
        </is>
      </c>
      <c r="D15" s="3" t="inlineStr">
        <is>
          <t>DR capacity factor</t>
        </is>
      </c>
      <c r="E15" s="3" t="inlineStr">
        <is>
          <t>Notes</t>
        </is>
      </c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4" t="inlineStr">
        <is>
          <t>Cold</t>
        </is>
      </c>
      <c r="B16" s="4" t="n">
        <v>4</v>
      </c>
      <c r="C16" s="4" t="n">
        <v>1</v>
      </c>
      <c r="D16" s="4" t="n">
        <v>0.1</v>
      </c>
      <c r="E16" s="4" t="inlineStr">
        <is>
          <t>Backup/restore oriented; minimal standby capacity</t>
        </is>
      </c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4" t="inlineStr">
        <is>
          <t>Warm</t>
        </is>
      </c>
      <c r="B17" s="4" t="n">
        <v>0.5</v>
      </c>
      <c r="C17" s="4" t="n">
        <v>0.0833</v>
      </c>
      <c r="D17" s="4" t="n">
        <v>0.35</v>
      </c>
      <c r="E17" s="4" t="inlineStr">
        <is>
          <t>Scaled standby capacity with asynchronous replication</t>
        </is>
      </c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4" t="inlineStr">
        <is>
          <t>Hot</t>
        </is>
      </c>
      <c r="B18" s="4" t="n">
        <v>0.1667</v>
      </c>
      <c r="C18" s="4" t="n">
        <v>0.0167</v>
      </c>
      <c r="D18" s="4" t="n">
        <v>0.7</v>
      </c>
      <c r="E18" s="4" t="inlineStr">
        <is>
          <t>Near-production standby; rapid promotion</t>
        </is>
      </c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4" t="inlineStr">
        <is>
          <t>Active-Active</t>
        </is>
      </c>
      <c r="B19" s="4" t="n">
        <v>0.0167</v>
      </c>
      <c r="C19" s="4" t="n">
        <v>0.001</v>
      </c>
      <c r="D19" s="4" t="n">
        <v>1</v>
      </c>
      <c r="E19" s="4" t="inlineStr">
        <is>
          <t>Full multi-region serving and replication</t>
        </is>
      </c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3" t="inlineStr">
        <is>
          <t>Line-Item Cost Model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3" t="inlineStr">
        <is>
          <t>AWS Service Category</t>
        </is>
      </c>
      <c r="B23" s="3" t="inlineStr">
        <is>
          <t>Baseline Qty</t>
        </is>
      </c>
      <c r="C23" s="3" t="inlineStr">
        <is>
          <t>Unit</t>
        </is>
      </c>
      <c r="D23" s="3" t="inlineStr">
        <is>
          <t>Planning Rate (USD)</t>
        </is>
      </c>
      <c r="E23" s="3" t="inlineStr">
        <is>
          <t>Pricing Basis</t>
        </is>
      </c>
      <c r="F23" s="3" t="inlineStr">
        <is>
          <t>Cold Qty Factor</t>
        </is>
      </c>
      <c r="G23" s="3" t="inlineStr">
        <is>
          <t>Warm Qty Factor</t>
        </is>
      </c>
      <c r="H23" s="3" t="inlineStr">
        <is>
          <t>Hot Qty Factor</t>
        </is>
      </c>
      <c r="I23" s="3" t="inlineStr">
        <is>
          <t>Active-Active Qty Factor</t>
        </is>
      </c>
      <c r="J23" s="3" t="inlineStr">
        <is>
          <t>Cold Monthly USD</t>
        </is>
      </c>
      <c r="K23" s="3" t="inlineStr">
        <is>
          <t>Warm Monthly USD</t>
        </is>
      </c>
      <c r="L23" s="3" t="inlineStr">
        <is>
          <t>Hot Monthly USD</t>
        </is>
      </c>
      <c r="M23" s="3" t="inlineStr">
        <is>
          <t>Active-Active Monthly USD</t>
        </is>
      </c>
    </row>
    <row r="24">
      <c r="A24" s="4" t="inlineStr">
        <is>
          <t>Amazon EKS</t>
        </is>
      </c>
      <c r="B24" s="4" t="n">
        <v>1</v>
      </c>
      <c r="C24" s="4" t="inlineStr">
        <is>
          <t>cluster</t>
        </is>
      </c>
      <c r="D24" s="4" t="n">
        <v>0.1</v>
      </c>
      <c r="E24" s="4" t="inlineStr">
        <is>
          <t>cluster-hour</t>
        </is>
      </c>
      <c r="F24" s="4" t="n">
        <v>0.1</v>
      </c>
      <c r="G24" s="4" t="n">
        <v>0.35</v>
      </c>
      <c r="H24" s="4" t="n">
        <v>0.7</v>
      </c>
      <c r="I24" s="4" t="n">
        <v>1</v>
      </c>
      <c r="J24" s="4">
        <f>B24*D24*F24</f>
        <v/>
      </c>
      <c r="K24" s="4">
        <f>B24*D24*G24</f>
        <v/>
      </c>
      <c r="L24" s="4">
        <f>B24*D24*H24</f>
        <v/>
      </c>
      <c r="M24" s="4">
        <f>B24*D24*I24</f>
        <v/>
      </c>
    </row>
    <row r="25">
      <c r="A25" s="4" t="inlineStr">
        <is>
          <t>EC2 worker nodes</t>
        </is>
      </c>
      <c r="B25" s="4" t="n">
        <v>24</v>
      </c>
      <c r="C25" s="4" t="inlineStr">
        <is>
          <t>nodes</t>
        </is>
      </c>
      <c r="D25" s="4" t="n">
        <v>0.404</v>
      </c>
      <c r="E25" s="4" t="inlineStr">
        <is>
          <t>node-hour planning</t>
        </is>
      </c>
      <c r="F25" s="4" t="n">
        <v>0.1</v>
      </c>
      <c r="G25" s="4" t="n">
        <v>0.35</v>
      </c>
      <c r="H25" s="4" t="n">
        <v>0.7</v>
      </c>
      <c r="I25" s="4" t="n">
        <v>1</v>
      </c>
      <c r="J25" s="4">
        <f>B25*D25*F25</f>
        <v/>
      </c>
      <c r="K25" s="4">
        <f>B25*D25*G25</f>
        <v/>
      </c>
      <c r="L25" s="4">
        <f>B25*D25*H25</f>
        <v/>
      </c>
      <c r="M25" s="4">
        <f>B25*D25*I25</f>
        <v/>
      </c>
    </row>
    <row r="26">
      <c r="A26" s="4" t="inlineStr">
        <is>
          <t>EBS</t>
        </is>
      </c>
      <c r="B26" s="4" t="n">
        <v>24</v>
      </c>
      <c r="C26" s="4" t="inlineStr">
        <is>
          <t>node volumes</t>
        </is>
      </c>
      <c r="D26" s="4" t="n">
        <v>35</v>
      </c>
      <c r="E26" s="4" t="inlineStr">
        <is>
          <t>monthly/node planning</t>
        </is>
      </c>
      <c r="F26" s="4" t="n">
        <v>0.1</v>
      </c>
      <c r="G26" s="4" t="n">
        <v>0.35</v>
      </c>
      <c r="H26" s="4" t="n">
        <v>0.7</v>
      </c>
      <c r="I26" s="4" t="n">
        <v>1</v>
      </c>
      <c r="J26" s="4">
        <f>B26*D26*F26</f>
        <v/>
      </c>
      <c r="K26" s="4">
        <f>B26*D26*G26</f>
        <v/>
      </c>
      <c r="L26" s="4">
        <f>B26*D26*H26</f>
        <v/>
      </c>
      <c r="M26" s="4">
        <f>B26*D26*I26</f>
        <v/>
      </c>
    </row>
    <row r="27">
      <c r="A27" s="4" t="inlineStr">
        <is>
          <t>Application Load Balancer</t>
        </is>
      </c>
      <c r="B27" s="4" t="n">
        <v>3</v>
      </c>
      <c r="C27" s="4" t="inlineStr">
        <is>
          <t>ALB</t>
        </is>
      </c>
      <c r="D27" s="4" t="n">
        <v>25</v>
      </c>
      <c r="E27" s="4" t="inlineStr">
        <is>
          <t>monthly/ALB planning</t>
        </is>
      </c>
      <c r="F27" s="4" t="n">
        <v>0.33</v>
      </c>
      <c r="G27" s="4" t="n">
        <v>0.5</v>
      </c>
      <c r="H27" s="4" t="n">
        <v>0.75</v>
      </c>
      <c r="I27" s="4" t="n">
        <v>1</v>
      </c>
      <c r="J27" s="4">
        <f>B27*D27*F27</f>
        <v/>
      </c>
      <c r="K27" s="4">
        <f>B27*D27*G27</f>
        <v/>
      </c>
      <c r="L27" s="4">
        <f>B27*D27*H27</f>
        <v/>
      </c>
      <c r="M27" s="4">
        <f>B27*D27*I27</f>
        <v/>
      </c>
    </row>
    <row r="28">
      <c r="A28" s="4" t="inlineStr">
        <is>
          <t>AWS WAF</t>
        </is>
      </c>
      <c r="B28" s="4" t="n">
        <v>1</v>
      </c>
      <c r="C28" s="4" t="inlineStr">
        <is>
          <t>web ACL</t>
        </is>
      </c>
      <c r="D28" s="4" t="n">
        <v>10</v>
      </c>
      <c r="E28" s="4" t="inlineStr">
        <is>
          <t>monthly planning</t>
        </is>
      </c>
      <c r="F28" s="4" t="n">
        <v>0.5</v>
      </c>
      <c r="G28" s="4" t="n">
        <v>0.75</v>
      </c>
      <c r="H28" s="4" t="n">
        <v>1</v>
      </c>
      <c r="I28" s="4" t="n">
        <v>1</v>
      </c>
      <c r="J28" s="4">
        <f>B28*D28*F28</f>
        <v/>
      </c>
      <c r="K28" s="4">
        <f>B28*D28*G28</f>
        <v/>
      </c>
      <c r="L28" s="4">
        <f>B28*D28*H28</f>
        <v/>
      </c>
      <c r="M28" s="4">
        <f>B28*D28*I28</f>
        <v/>
      </c>
    </row>
    <row r="29">
      <c r="A29" s="4" t="inlineStr">
        <is>
          <t>Aurora PostgreSQL</t>
        </is>
      </c>
      <c r="B29" s="4" t="n">
        <v>1</v>
      </c>
      <c r="C29" s="4" t="inlineStr">
        <is>
          <t>writer cluster</t>
        </is>
      </c>
      <c r="D29" s="4" t="n">
        <v>862</v>
      </c>
      <c r="E29" s="4" t="inlineStr">
        <is>
          <t>monthly instance planning</t>
        </is>
      </c>
      <c r="F29" s="4" t="n">
        <v>0.1</v>
      </c>
      <c r="G29" s="4" t="n">
        <v>0.35</v>
      </c>
      <c r="H29" s="4" t="n">
        <v>0.7</v>
      </c>
      <c r="I29" s="4" t="n">
        <v>1</v>
      </c>
      <c r="J29" s="4">
        <f>B29*D29*F29</f>
        <v/>
      </c>
      <c r="K29" s="4">
        <f>B29*D29*G29</f>
        <v/>
      </c>
      <c r="L29" s="4">
        <f>B29*D29*H29</f>
        <v/>
      </c>
      <c r="M29" s="4">
        <f>B29*D29*I29</f>
        <v/>
      </c>
    </row>
    <row r="30">
      <c r="A30" s="4" t="inlineStr">
        <is>
          <t>DynamoDB</t>
        </is>
      </c>
      <c r="B30" s="4" t="n">
        <v>1</v>
      </c>
      <c r="C30" s="4" t="inlineStr">
        <is>
          <t>regional table set</t>
        </is>
      </c>
      <c r="D30" s="4" t="n">
        <v>500</v>
      </c>
      <c r="E30" s="4" t="inlineStr">
        <is>
          <t>monthly capacity planning</t>
        </is>
      </c>
      <c r="F30" s="4" t="n">
        <v>0.1</v>
      </c>
      <c r="G30" s="4" t="n">
        <v>0.35</v>
      </c>
      <c r="H30" s="4" t="n">
        <v>0.7</v>
      </c>
      <c r="I30" s="4" t="n">
        <v>1</v>
      </c>
      <c r="J30" s="4">
        <f>B30*D30*F30</f>
        <v/>
      </c>
      <c r="K30" s="4">
        <f>B30*D30*G30</f>
        <v/>
      </c>
      <c r="L30" s="4">
        <f>B30*D30*H30</f>
        <v/>
      </c>
      <c r="M30" s="4">
        <f>B30*D30*I30</f>
        <v/>
      </c>
    </row>
    <row r="31">
      <c r="A31" s="4" t="inlineStr">
        <is>
          <t>ElastiCache Redis</t>
        </is>
      </c>
      <c r="B31" s="4" t="n">
        <v>1</v>
      </c>
      <c r="C31" s="4" t="inlineStr">
        <is>
          <t>cluster</t>
        </is>
      </c>
      <c r="D31" s="4" t="n">
        <v>500</v>
      </c>
      <c r="E31" s="4" t="inlineStr">
        <is>
          <t>monthly cluster planning</t>
        </is>
      </c>
      <c r="F31" s="4" t="n">
        <v>0.1</v>
      </c>
      <c r="G31" s="4" t="n">
        <v>0.35</v>
      </c>
      <c r="H31" s="4" t="n">
        <v>0.7</v>
      </c>
      <c r="I31" s="4" t="n">
        <v>1</v>
      </c>
      <c r="J31" s="4">
        <f>B31*D31*F31</f>
        <v/>
      </c>
      <c r="K31" s="4">
        <f>B31*D31*G31</f>
        <v/>
      </c>
      <c r="L31" s="4">
        <f>B31*D31*H31</f>
        <v/>
      </c>
      <c r="M31" s="4">
        <f>B31*D31*I31</f>
        <v/>
      </c>
    </row>
    <row r="32">
      <c r="A32" s="4" t="inlineStr">
        <is>
          <t>Amazon MSK</t>
        </is>
      </c>
      <c r="B32" s="4" t="n">
        <v>6</v>
      </c>
      <c r="C32" s="4" t="inlineStr">
        <is>
          <t>brokers</t>
        </is>
      </c>
      <c r="D32" s="4" t="n">
        <v>0.21</v>
      </c>
      <c r="E32" s="4" t="inlineStr">
        <is>
          <t>broker-hour planning</t>
        </is>
      </c>
      <c r="F32" s="4" t="n">
        <v>0.1</v>
      </c>
      <c r="G32" s="4" t="n">
        <v>0.35</v>
      </c>
      <c r="H32" s="4" t="n">
        <v>0.7</v>
      </c>
      <c r="I32" s="4" t="n">
        <v>1</v>
      </c>
      <c r="J32" s="4">
        <f>B32*D32*F32</f>
        <v/>
      </c>
      <c r="K32" s="4">
        <f>B32*D32*G32</f>
        <v/>
      </c>
      <c r="L32" s="4">
        <f>B32*D32*H32</f>
        <v/>
      </c>
      <c r="M32" s="4">
        <f>B32*D32*I32</f>
        <v/>
      </c>
    </row>
    <row r="33">
      <c r="A33" s="4" t="inlineStr">
        <is>
          <t>Amazon S3</t>
        </is>
      </c>
      <c r="B33" s="4" t="n">
        <v>1</v>
      </c>
      <c r="C33" s="4" t="inlineStr">
        <is>
          <t>bucket set</t>
        </is>
      </c>
      <c r="D33" s="4" t="n">
        <v>100</v>
      </c>
      <c r="E33" s="4" t="inlineStr">
        <is>
          <t>monthly storage/requests planning</t>
        </is>
      </c>
      <c r="F33" s="4" t="n">
        <v>0.1</v>
      </c>
      <c r="G33" s="4" t="n">
        <v>0.35</v>
      </c>
      <c r="H33" s="4" t="n">
        <v>0.7</v>
      </c>
      <c r="I33" s="4" t="n">
        <v>1</v>
      </c>
      <c r="J33" s="4">
        <f>B33*D33*F33</f>
        <v/>
      </c>
      <c r="K33" s="4">
        <f>B33*D33*G33</f>
        <v/>
      </c>
      <c r="L33" s="4">
        <f>B33*D33*H33</f>
        <v/>
      </c>
      <c r="M33" s="4">
        <f>B33*D33*I33</f>
        <v/>
      </c>
    </row>
    <row r="34">
      <c r="A34" s="4" t="inlineStr">
        <is>
          <t>AWS KMS</t>
        </is>
      </c>
      <c r="B34" s="4" t="n">
        <v>10</v>
      </c>
      <c r="C34" s="4" t="inlineStr">
        <is>
          <t>CMKs</t>
        </is>
      </c>
      <c r="D34" s="4" t="n">
        <v>1</v>
      </c>
      <c r="E34" s="4" t="inlineStr">
        <is>
          <t>key-month</t>
        </is>
      </c>
      <c r="F34" s="4" t="n">
        <v>0.5</v>
      </c>
      <c r="G34" s="4" t="n">
        <v>0.75</v>
      </c>
      <c r="H34" s="4" t="n">
        <v>1</v>
      </c>
      <c r="I34" s="4" t="n">
        <v>1</v>
      </c>
      <c r="J34" s="4">
        <f>B34*D34*F34</f>
        <v/>
      </c>
      <c r="K34" s="4">
        <f>B34*D34*G34</f>
        <v/>
      </c>
      <c r="L34" s="4">
        <f>B34*D34*H34</f>
        <v/>
      </c>
      <c r="M34" s="4">
        <f>B34*D34*I34</f>
        <v/>
      </c>
    </row>
    <row r="35">
      <c r="A35" s="4" t="inlineStr">
        <is>
          <t>AWS Secrets Manager</t>
        </is>
      </c>
      <c r="B35" s="4" t="n">
        <v>50</v>
      </c>
      <c r="C35" s="4" t="inlineStr">
        <is>
          <t>secrets</t>
        </is>
      </c>
      <c r="D35" s="4" t="n">
        <v>0.4</v>
      </c>
      <c r="E35" s="4" t="inlineStr">
        <is>
          <t>secret-month planning</t>
        </is>
      </c>
      <c r="F35" s="4" t="n">
        <v>0.5</v>
      </c>
      <c r="G35" s="4" t="n">
        <v>0.75</v>
      </c>
      <c r="H35" s="4" t="n">
        <v>1</v>
      </c>
      <c r="I35" s="4" t="n">
        <v>1</v>
      </c>
      <c r="J35" s="4">
        <f>B35*D35*F35</f>
        <v/>
      </c>
      <c r="K35" s="4">
        <f>B35*D35*G35</f>
        <v/>
      </c>
      <c r="L35" s="4">
        <f>B35*D35*H35</f>
        <v/>
      </c>
      <c r="M35" s="4">
        <f>B35*D35*I35</f>
        <v/>
      </c>
    </row>
    <row r="36">
      <c r="A36" s="4" t="inlineStr">
        <is>
          <t>Amazon Route 53</t>
        </is>
      </c>
      <c r="B36" s="4" t="n">
        <v>1</v>
      </c>
      <c r="C36" s="4" t="inlineStr">
        <is>
          <t>hosted zone</t>
        </is>
      </c>
      <c r="D36" s="4" t="n">
        <v>0.5</v>
      </c>
      <c r="E36" s="4" t="inlineStr">
        <is>
          <t>hosted-zone/month</t>
        </is>
      </c>
      <c r="F36" s="4" t="n">
        <v>1</v>
      </c>
      <c r="G36" s="4" t="n">
        <v>1</v>
      </c>
      <c r="H36" s="4" t="n">
        <v>1</v>
      </c>
      <c r="I36" s="4" t="n">
        <v>1</v>
      </c>
      <c r="J36" s="4">
        <f>B36*D36*F36</f>
        <v/>
      </c>
      <c r="K36" s="4">
        <f>B36*D36*G36</f>
        <v/>
      </c>
      <c r="L36" s="4">
        <f>B36*D36*H36</f>
        <v/>
      </c>
      <c r="M36" s="4">
        <f>B36*D36*I36</f>
        <v/>
      </c>
    </row>
    <row r="37">
      <c r="A37" s="4" t="inlineStr">
        <is>
          <t>NAT Gateway</t>
        </is>
      </c>
      <c r="B37" s="4" t="n">
        <v>3</v>
      </c>
      <c r="C37" s="4" t="inlineStr">
        <is>
          <t>NAT gateways</t>
        </is>
      </c>
      <c r="D37" s="4" t="n">
        <v>32.85</v>
      </c>
      <c r="E37" s="4" t="inlineStr">
        <is>
          <t>gateway-month planning</t>
        </is>
      </c>
      <c r="F37" s="4" t="n">
        <v>0.33</v>
      </c>
      <c r="G37" s="4" t="n">
        <v>0.67</v>
      </c>
      <c r="H37" s="4" t="n">
        <v>1</v>
      </c>
      <c r="I37" s="4" t="n">
        <v>1</v>
      </c>
      <c r="J37" s="4">
        <f>B37*D37*F37</f>
        <v/>
      </c>
      <c r="K37" s="4">
        <f>B37*D37*G37</f>
        <v/>
      </c>
      <c r="L37" s="4">
        <f>B37*D37*H37</f>
        <v/>
      </c>
      <c r="M37" s="4">
        <f>B37*D37*I37</f>
        <v/>
      </c>
    </row>
    <row r="38">
      <c r="A38" s="4" t="inlineStr">
        <is>
          <t>CloudWatch</t>
        </is>
      </c>
      <c r="B38" s="4" t="n">
        <v>1</v>
      </c>
      <c r="C38" s="4" t="inlineStr">
        <is>
          <t>account monitoring</t>
        </is>
      </c>
      <c r="D38" s="4" t="n">
        <v>250</v>
      </c>
      <c r="E38" s="4" t="inlineStr">
        <is>
          <t>monthly monitoring planning</t>
        </is>
      </c>
      <c r="F38" s="4" t="n">
        <v>0.25</v>
      </c>
      <c r="G38" s="4" t="n">
        <v>0.5</v>
      </c>
      <c r="H38" s="4" t="n">
        <v>0.75</v>
      </c>
      <c r="I38" s="4" t="n">
        <v>1</v>
      </c>
      <c r="J38" s="4">
        <f>B38*D38*F38</f>
        <v/>
      </c>
      <c r="K38" s="4">
        <f>B38*D38*G38</f>
        <v/>
      </c>
      <c r="L38" s="4">
        <f>B38*D38*H38</f>
        <v/>
      </c>
      <c r="M38" s="4">
        <f>B38*D38*I38</f>
        <v/>
      </c>
    </row>
    <row r="39">
      <c r="A39" s="4" t="inlineStr">
        <is>
          <t>VPC PrivateLink endpoints</t>
        </is>
      </c>
      <c r="B39" s="4" t="n">
        <v>10</v>
      </c>
      <c r="C39" s="4" t="inlineStr">
        <is>
          <t>endpoints</t>
        </is>
      </c>
      <c r="D39" s="4" t="n">
        <v>7.3</v>
      </c>
      <c r="E39" s="4" t="inlineStr">
        <is>
          <t>endpoint-month planning</t>
        </is>
      </c>
      <c r="F39" s="4" t="n">
        <v>0.2</v>
      </c>
      <c r="G39" s="4" t="n">
        <v>0.5</v>
      </c>
      <c r="H39" s="4" t="n">
        <v>0.75</v>
      </c>
      <c r="I39" s="4" t="n">
        <v>1</v>
      </c>
      <c r="J39" s="4">
        <f>B39*D39*F39</f>
        <v/>
      </c>
      <c r="K39" s="4">
        <f>B39*D39*G39</f>
        <v/>
      </c>
      <c r="L39" s="4">
        <f>B39*D39*H39</f>
        <v/>
      </c>
      <c r="M39" s="4">
        <f>B39*D39*I39</f>
        <v/>
      </c>
    </row>
    <row r="40">
      <c r="A40" s="4" t="inlineStr">
        <is>
          <t>Transit Gateway</t>
        </is>
      </c>
      <c r="B40" s="4" t="n">
        <v>1</v>
      </c>
      <c r="C40" s="4" t="inlineStr">
        <is>
          <t>TGW</t>
        </is>
      </c>
      <c r="D40" s="4" t="n">
        <v>50</v>
      </c>
      <c r="E40" s="4" t="inlineStr">
        <is>
          <t>monthly planning</t>
        </is>
      </c>
      <c r="F40" s="4" t="n">
        <v>0.2</v>
      </c>
      <c r="G40" s="4" t="n">
        <v>0.5</v>
      </c>
      <c r="H40" s="4" t="n">
        <v>0.75</v>
      </c>
      <c r="I40" s="4" t="n">
        <v>1</v>
      </c>
      <c r="J40" s="4">
        <f>B40*D40*F40</f>
        <v/>
      </c>
      <c r="K40" s="4">
        <f>B40*D40*G40</f>
        <v/>
      </c>
      <c r="L40" s="4">
        <f>B40*D40*H40</f>
        <v/>
      </c>
      <c r="M40" s="4">
        <f>B40*D40*I40</f>
        <v/>
      </c>
    </row>
    <row r="41">
      <c r="A41" s="4" t="inlineStr">
        <is>
          <t>Cross-region data transfer</t>
        </is>
      </c>
      <c r="B41" s="4" t="n">
        <v>1</v>
      </c>
      <c r="C41" s="4" t="inlineStr">
        <is>
          <t>workload</t>
        </is>
      </c>
      <c r="D41" s="4" t="n">
        <v>250</v>
      </c>
      <c r="E41" s="4" t="inlineStr">
        <is>
          <t>monthly planning</t>
        </is>
      </c>
      <c r="F41" s="4" t="n">
        <v>0</v>
      </c>
      <c r="G41" s="4" t="n">
        <v>0.35</v>
      </c>
      <c r="H41" s="4" t="n">
        <v>0.7</v>
      </c>
      <c r="I41" s="4" t="n">
        <v>1</v>
      </c>
      <c r="J41" s="4">
        <f>B41*D41*F41</f>
        <v/>
      </c>
      <c r="K41" s="4">
        <f>B41*D41*G41</f>
        <v/>
      </c>
      <c r="L41" s="4">
        <f>B41*D41*H41</f>
        <v/>
      </c>
      <c r="M41" s="4">
        <f>B41*D41*I41</f>
        <v/>
      </c>
    </row>
    <row r="42">
      <c r="A42" s="4" t="inlineStr">
        <is>
          <t>Backup / snapshots</t>
        </is>
      </c>
      <c r="B42" s="4" t="n">
        <v>1</v>
      </c>
      <c r="C42" s="4" t="inlineStr">
        <is>
          <t>backup set</t>
        </is>
      </c>
      <c r="D42" s="4" t="n">
        <v>300</v>
      </c>
      <c r="E42" s="4" t="inlineStr">
        <is>
          <t>monthly planning</t>
        </is>
      </c>
      <c r="F42" s="4" t="n">
        <v>1</v>
      </c>
      <c r="G42" s="4" t="n">
        <v>0.75</v>
      </c>
      <c r="H42" s="4" t="n">
        <v>0.75</v>
      </c>
      <c r="I42" s="4" t="n">
        <v>1</v>
      </c>
      <c r="J42" s="4">
        <f>B42*D42*F42</f>
        <v/>
      </c>
      <c r="K42" s="4">
        <f>B42*D42*G42</f>
        <v/>
      </c>
      <c r="L42" s="4">
        <f>B42*D42*H42</f>
        <v/>
      </c>
      <c r="M42" s="4">
        <f>B42*D42*I42</f>
        <v/>
      </c>
    </row>
    <row r="43">
      <c r="A43" s="3" t="inlineStr">
        <is>
          <t>TOTAL MONTHLY USD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3">
        <f>SUM(J24:J42)</f>
        <v/>
      </c>
      <c r="K43" s="3">
        <f>SUM(K24:K42)</f>
        <v/>
      </c>
      <c r="L43" s="3">
        <f>SUM(L24:L42)</f>
        <v/>
      </c>
      <c r="M43" s="3">
        <f>SUM(M24:M42)</f>
        <v/>
      </c>
    </row>
    <row r="44">
      <c r="A44" s="3" t="inlineStr">
        <is>
          <t>TOTAL ANNUAL USD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3">
        <f>J43*$B$4</f>
        <v/>
      </c>
      <c r="K44" s="3">
        <f>K43*$B$4</f>
        <v/>
      </c>
      <c r="L44" s="3">
        <f>L43*$B$4</f>
        <v/>
      </c>
      <c r="M44" s="3">
        <f>M43*$B$4</f>
        <v/>
      </c>
    </row>
    <row r="45">
      <c r="A45" s="3" t="inlineStr">
        <is>
          <t>TOTAL ANNUAL INR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3">
        <f>J44*$B$5</f>
        <v/>
      </c>
      <c r="K45" s="3">
        <f>K44*$B$5</f>
        <v/>
      </c>
      <c r="L45" s="3">
        <f>L44*$B$5</f>
        <v/>
      </c>
      <c r="M45" s="3">
        <f>M44*$B$5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13" customWidth="1" min="3" max="3"/>
    <col width="30" customWidth="1" min="4" max="4"/>
    <col width="38" customWidth="1" min="5" max="5"/>
    <col width="29" customWidth="1" min="6" max="6"/>
    <col width="58" customWidth="1" min="7" max="7"/>
    <col width="26" customWidth="1" min="8" max="8"/>
    <col width="19" customWidth="1" min="9" max="9"/>
    <col width="24" customWidth="1" min="10" max="10"/>
    <col width="13" customWidth="1" min="11" max="11"/>
    <col width="55" customWidth="1" min="12" max="12"/>
  </cols>
  <sheetData>
    <row r="1">
      <c r="A1" s="1" t="inlineStr">
        <is>
          <t>DR Tier ROI and Downtime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Tier</t>
        </is>
      </c>
      <c r="B3" s="3" t="inlineStr">
        <is>
          <t>Annual DR Cost (INR)</t>
        </is>
      </c>
      <c r="C3" s="3" t="inlineStr">
        <is>
          <t>RTO (hours)</t>
        </is>
      </c>
      <c r="D3" s="3" t="inlineStr">
        <is>
          <t>Residual Downtime Cost (INR)</t>
        </is>
      </c>
      <c r="E3" s="3" t="inlineStr">
        <is>
          <t>Current Downtime Cost (INR)</t>
        </is>
      </c>
      <c r="F3" s="3" t="inlineStr">
        <is>
          <t>Avoided Downtime Cost (INR)</t>
        </is>
      </c>
      <c r="G3" s="3" t="inlineStr">
        <is>
          <t>Other Annual Risk Costs (INR)</t>
        </is>
      </c>
      <c r="H3" s="3" t="inlineStr">
        <is>
          <t>Net Annual Benefit (INR)</t>
        </is>
      </c>
      <c r="I3" s="3" t="inlineStr">
        <is>
          <t>Simple ROI %</t>
        </is>
      </c>
      <c r="J3" s="3" t="inlineStr">
        <is>
          <t>Payback (years)</t>
        </is>
      </c>
      <c r="K3" s="3" t="inlineStr">
        <is>
          <t>RPO (hours)</t>
        </is>
      </c>
      <c r="L3" s="3" t="inlineStr">
        <is>
          <t>Interpretation</t>
        </is>
      </c>
    </row>
    <row r="4">
      <c r="A4" s="4" t="inlineStr">
        <is>
          <t>Cold</t>
        </is>
      </c>
      <c r="B4" s="4">
        <f>'Cost Model'!J45</f>
        <v/>
      </c>
      <c r="C4" s="4" t="n">
        <v>4</v>
      </c>
      <c r="D4" s="4">
        <f>C4*'Cost Model'!$B$8</f>
        <v/>
      </c>
      <c r="E4" s="4">
        <f>'Cost Model'!$B$7*'Cost Model'!$B$8</f>
        <v/>
      </c>
      <c r="F4" s="4">
        <f>MAX(0,E4-D4)</f>
        <v/>
      </c>
      <c r="G4" s="4">
        <f>'Cost Model'!$B$9+'Cost Model'!$B$10+'Cost Model'!$B$11</f>
        <v/>
      </c>
      <c r="H4" s="4">
        <f>F4-B4+G4</f>
        <v/>
      </c>
      <c r="I4" s="4">
        <f>IF(B4=0,0,H4/B4)</f>
        <v/>
      </c>
      <c r="J4" s="4">
        <f>IF(H4&lt;=0,"N/A",B4/H4)</f>
        <v/>
      </c>
      <c r="K4" s="4" t="n">
        <v>1</v>
      </c>
      <c r="L4" s="4" t="inlineStr">
        <is>
          <t>Backup/restore oriented; minimal standby capacity</t>
        </is>
      </c>
    </row>
    <row r="5">
      <c r="A5" s="4" t="inlineStr">
        <is>
          <t>Warm</t>
        </is>
      </c>
      <c r="B5" s="4">
        <f>'Cost Model'!K45</f>
        <v/>
      </c>
      <c r="C5" s="4" t="n">
        <v>0.5</v>
      </c>
      <c r="D5" s="4">
        <f>C5*'Cost Model'!$B$8</f>
        <v/>
      </c>
      <c r="E5" s="4">
        <f>'Cost Model'!$B$7*'Cost Model'!$B$8</f>
        <v/>
      </c>
      <c r="F5" s="4">
        <f>MAX(0,E5-D5)</f>
        <v/>
      </c>
      <c r="G5" s="4">
        <f>'Cost Model'!$B$9+'Cost Model'!$B$10+'Cost Model'!$B$11</f>
        <v/>
      </c>
      <c r="H5" s="4">
        <f>F5-B5+G5</f>
        <v/>
      </c>
      <c r="I5" s="4">
        <f>IF(B5=0,0,H5/B5)</f>
        <v/>
      </c>
      <c r="J5" s="4">
        <f>IF(H5&lt;=0,"N/A",B5/H5)</f>
        <v/>
      </c>
      <c r="K5" s="4" t="n">
        <v>0.0833</v>
      </c>
      <c r="L5" s="4" t="inlineStr">
        <is>
          <t>Scaled standby capacity with asynchronous replication</t>
        </is>
      </c>
    </row>
    <row r="6">
      <c r="A6" s="4" t="inlineStr">
        <is>
          <t>Hot</t>
        </is>
      </c>
      <c r="B6" s="4">
        <f>'Cost Model'!L45</f>
        <v/>
      </c>
      <c r="C6" s="4" t="n">
        <v>0.1667</v>
      </c>
      <c r="D6" s="4">
        <f>C6*'Cost Model'!$B$8</f>
        <v/>
      </c>
      <c r="E6" s="4">
        <f>'Cost Model'!$B$7*'Cost Model'!$B$8</f>
        <v/>
      </c>
      <c r="F6" s="4">
        <f>MAX(0,E6-D6)</f>
        <v/>
      </c>
      <c r="G6" s="4">
        <f>'Cost Model'!$B$9+'Cost Model'!$B$10+'Cost Model'!$B$11</f>
        <v/>
      </c>
      <c r="H6" s="4">
        <f>F6-B6+G6</f>
        <v/>
      </c>
      <c r="I6" s="4">
        <f>IF(B6=0,0,H6/B6)</f>
        <v/>
      </c>
      <c r="J6" s="4">
        <f>IF(H6&lt;=0,"N/A",B6/H6)</f>
        <v/>
      </c>
      <c r="K6" s="4" t="n">
        <v>0.0167</v>
      </c>
      <c r="L6" s="4" t="inlineStr">
        <is>
          <t>Near-production standby; rapid promotion</t>
        </is>
      </c>
    </row>
    <row r="7">
      <c r="A7" s="4" t="inlineStr">
        <is>
          <t>Active-Active</t>
        </is>
      </c>
      <c r="B7" s="4">
        <f>'Cost Model'!M45</f>
        <v/>
      </c>
      <c r="C7" s="4" t="n">
        <v>0.0167</v>
      </c>
      <c r="D7" s="4">
        <f>C7*'Cost Model'!$B$8</f>
        <v/>
      </c>
      <c r="E7" s="4">
        <f>'Cost Model'!$B$7*'Cost Model'!$B$8</f>
        <v/>
      </c>
      <c r="F7" s="4">
        <f>MAX(0,E7-D7)</f>
        <v/>
      </c>
      <c r="G7" s="4">
        <f>'Cost Model'!$B$9+'Cost Model'!$B$10+'Cost Model'!$B$11</f>
        <v/>
      </c>
      <c r="H7" s="4">
        <f>F7-B7+G7</f>
        <v/>
      </c>
      <c r="I7" s="4">
        <f>IF(B7=0,0,H7/B7)</f>
        <v/>
      </c>
      <c r="J7" s="4">
        <f>IF(H7&lt;=0,"N/A",B7/H7)</f>
        <v/>
      </c>
      <c r="K7" s="4" t="n">
        <v>0.001</v>
      </c>
      <c r="L7" s="4" t="inlineStr">
        <is>
          <t>Full multi-region serving and replication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4" customWidth="1" min="4" max="4"/>
    <col width="22" customWidth="1" min="5" max="5"/>
    <col width="12" customWidth="1" min="6" max="6"/>
  </cols>
  <sheetData>
    <row r="1">
      <c r="A1" s="1" t="inlineStr">
        <is>
          <t>Downtime Cost Sensitivity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Revenue Loss / Hour (INR)</t>
        </is>
      </c>
      <c r="B3" s="3" t="inlineStr">
        <is>
          <t>Cold 4h</t>
        </is>
      </c>
      <c r="C3" s="3" t="inlineStr">
        <is>
          <t>Warm 0.5h</t>
        </is>
      </c>
      <c r="D3" s="3" t="inlineStr">
        <is>
          <t>Hot 0.167h</t>
        </is>
      </c>
      <c r="E3" s="3" t="inlineStr">
        <is>
          <t>Active-Active 0.017h</t>
        </is>
      </c>
      <c r="F3" s="3" t="inlineStr">
        <is>
          <t>Current 7h</t>
        </is>
      </c>
    </row>
    <row r="4">
      <c r="A4" s="4" t="n">
        <v>2500000</v>
      </c>
      <c r="B4" s="4">
        <f>$A4*4</f>
        <v/>
      </c>
      <c r="C4" s="4">
        <f>$A4*0.5</f>
        <v/>
      </c>
      <c r="D4" s="4">
        <f>$A4*(10/60)</f>
        <v/>
      </c>
      <c r="E4" s="4">
        <f>$A4*(1/60)</f>
        <v/>
      </c>
      <c r="F4" s="4">
        <f>$A4*7</f>
        <v/>
      </c>
    </row>
    <row r="5">
      <c r="A5" s="4" t="n">
        <v>3750000</v>
      </c>
      <c r="B5" s="4">
        <f>$A5*4</f>
        <v/>
      </c>
      <c r="C5" s="4">
        <f>$A5*0.5</f>
        <v/>
      </c>
      <c r="D5" s="4">
        <f>$A5*(10/60)</f>
        <v/>
      </c>
      <c r="E5" s="4">
        <f>$A5*(1/60)</f>
        <v/>
      </c>
      <c r="F5" s="4">
        <f>$A5*7</f>
        <v/>
      </c>
    </row>
    <row r="6">
      <c r="A6" s="4" t="n">
        <v>5000000</v>
      </c>
      <c r="B6" s="4">
        <f>$A6*4</f>
        <v/>
      </c>
      <c r="C6" s="4">
        <f>$A6*0.5</f>
        <v/>
      </c>
      <c r="D6" s="4">
        <f>$A6*(10/60)</f>
        <v/>
      </c>
      <c r="E6" s="4">
        <f>$A6*(1/60)</f>
        <v/>
      </c>
      <c r="F6" s="4">
        <f>$A6*7</f>
        <v/>
      </c>
    </row>
    <row r="7">
      <c r="A7" s="4" t="n">
        <v>7500000</v>
      </c>
      <c r="B7" s="4">
        <f>$A7*4</f>
        <v/>
      </c>
      <c r="C7" s="4">
        <f>$A7*0.5</f>
        <v/>
      </c>
      <c r="D7" s="4">
        <f>$A7*(10/60)</f>
        <v/>
      </c>
      <c r="E7" s="4">
        <f>$A7*(1/60)</f>
        <v/>
      </c>
      <c r="F7" s="4">
        <f>$A7*7</f>
        <v/>
      </c>
    </row>
    <row r="8">
      <c r="A8" s="4" t="n">
        <v>10000000</v>
      </c>
      <c r="B8" s="4">
        <f>$A8*4</f>
        <v/>
      </c>
      <c r="C8" s="4">
        <f>$A8*0.5</f>
        <v/>
      </c>
      <c r="D8" s="4">
        <f>$A8*(10/60)</f>
        <v/>
      </c>
      <c r="E8" s="4">
        <f>$A8*(1/60)</f>
        <v/>
      </c>
      <c r="F8" s="4">
        <f>$A8*7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60" customWidth="1" min="3" max="3"/>
    <col width="14" customWidth="1" min="4" max="4"/>
  </cols>
  <sheetData>
    <row r="1">
      <c r="A1" s="1" t="inlineStr">
        <is>
          <t>Pricing Sources and Modeling Notes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4" t="inlineStr">
        <is>
          <t>Project brief</t>
        </is>
      </c>
      <c r="B3" s="4" t="inlineStr">
        <is>
          <t>15+ AWS service categories across Cold/Warm/Hot/Active-Active; calculate downtime costs and DR investment ROI.</t>
        </is>
      </c>
      <c r="C3" s="4" t="inlineStr">
        <is>
          <t>Project requirement</t>
        </is>
      </c>
      <c r="D3" s="2" t="n"/>
    </row>
    <row r="4">
      <c r="A4" s="4" t="inlineStr">
        <is>
          <t>Project brief</t>
        </is>
      </c>
      <c r="B4" s="4" t="inlineStr">
        <is>
          <t>Current annual infrastructure spend ₹8 crore; current trailing downtime 7 hours; target uptime 99.99% / 52.6 minutes maximum annual downtime.</t>
        </is>
      </c>
      <c r="C4" s="4" t="inlineStr">
        <is>
          <t>Project brief</t>
        </is>
      </c>
      <c r="D4" s="2" t="n"/>
    </row>
    <row r="5">
      <c r="A5" s="4" t="inlineStr">
        <is>
          <t>Project brief</t>
        </is>
      </c>
      <c r="B5" s="4" t="inlineStr">
        <is>
          <t>Direct revenue loss ~₹37.5 lakh/hour; recovery labor 500+ engineer-hours at ₹3,000/hour.</t>
        </is>
      </c>
      <c r="C5" s="4" t="inlineStr">
        <is>
          <t>Project brief</t>
        </is>
      </c>
      <c r="D5" s="2" t="n"/>
    </row>
    <row r="6">
      <c r="A6" s="4" t="inlineStr">
        <is>
          <t>AWS EKS Pricing</t>
        </is>
      </c>
      <c r="B6" s="4" t="inlineStr">
        <is>
          <t>Standard EKS cluster support is $0.10 per cluster-hour.</t>
        </is>
      </c>
      <c r="C6" s="4" t="inlineStr">
        <is>
          <t>https://aws.amazon.com/eks/pricing/</t>
        </is>
      </c>
      <c r="D6" s="2" t="n"/>
    </row>
    <row r="7">
      <c r="A7" s="4" t="inlineStr">
        <is>
          <t>AWS Route 53 Pricing</t>
        </is>
      </c>
      <c r="B7" s="4" t="inlineStr">
        <is>
          <t>Hosted zones, DNS queries and health checks are usage based; current offer includes up to 50 AWS-endpoint health checks free.</t>
        </is>
      </c>
      <c r="C7" s="4" t="inlineStr">
        <is>
          <t>https://aws.amazon.com/route53/pricing/</t>
        </is>
      </c>
      <c r="D7" s="2" t="n"/>
    </row>
    <row r="8">
      <c r="A8" s="4" t="inlineStr">
        <is>
          <t>AWS VPC / NAT</t>
        </is>
      </c>
      <c r="B8" s="4" t="inlineStr">
        <is>
          <t>NAT Gateway is charged per gateway-hour and per GB processed.</t>
        </is>
      </c>
      <c r="C8" s="4" t="inlineStr">
        <is>
          <t>https://docs.aws.amazon.com/vpc/latest/userguide/nat-gateway-pricing.html</t>
        </is>
      </c>
      <c r="D8" s="2" t="n"/>
    </row>
    <row r="9">
      <c r="A9" s="4" t="inlineStr">
        <is>
          <t>AWS MSK Pricing</t>
        </is>
      </c>
      <c r="B9" s="4" t="inlineStr">
        <is>
          <t>Provisioned MSK charges include broker usage and storage; other features and data transfer can add cost.</t>
        </is>
      </c>
      <c r="C9" s="4" t="inlineStr">
        <is>
          <t>https://aws.amazon.com/msk/pricing/</t>
        </is>
      </c>
      <c r="D9" s="2" t="n"/>
    </row>
    <row r="10">
      <c r="A10" s="4" t="inlineStr">
        <is>
          <t>AWS S3 Pricing</t>
        </is>
      </c>
      <c r="B10" s="4" t="inlineStr">
        <is>
          <t>S3 cost components include storage, requests/retrieval, data transfer and replication.</t>
        </is>
      </c>
      <c r="C10" s="4" t="inlineStr">
        <is>
          <t>https://aws.amazon.com/s3/pricing/</t>
        </is>
      </c>
      <c r="D10" s="2" t="n"/>
    </row>
    <row r="11">
      <c r="A11" s="4" t="inlineStr">
        <is>
          <t>AWS ElastiCache Pricing</t>
        </is>
      </c>
      <c r="B11" s="4" t="inlineStr">
        <is>
          <t>ElastiCache pricing varies by node/serverless usage, backups, data transfer and cross-region replication.</t>
        </is>
      </c>
      <c r="C11" s="4" t="inlineStr">
        <is>
          <t>https://aws.amazon.com/elasticache/pricing/</t>
        </is>
      </c>
      <c r="D11" s="2" t="n"/>
    </row>
    <row r="12">
      <c r="A12" s="4" t="inlineStr">
        <is>
          <t>Modeling note</t>
        </is>
      </c>
      <c r="B12" s="4" t="inlineStr">
        <is>
          <t>Planning rates are editable assumptions and are not claims of exact Mumbai/Hyderabad list prices. Replace with verified AWS Pricing Calculator outputs before final submission for exact-price validation.</t>
        </is>
      </c>
      <c r="C12" s="4" t="inlineStr">
        <is>
          <t>Control note</t>
        </is>
      </c>
      <c r="D12" s="2" t="n"/>
    </row>
    <row r="13">
      <c r="A13" s="4" t="inlineStr">
        <is>
          <t>Modeling note</t>
        </is>
      </c>
      <c r="B13" s="4" t="inlineStr">
        <is>
          <t>ROI is scenario-based: it compares the 7-hour trailing downtime baseline with each tier's assumed single-event RTO. It is not a probabilistic annual loss model.</t>
        </is>
      </c>
      <c r="C13" s="4" t="inlineStr">
        <is>
          <t>Control note</t>
        </is>
      </c>
      <c r="D13" s="2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2026-09-06T19:29:37Z</dcterms:created>
  <dcterms:modified xmlns:dcterms="http://purl.org/dc/terms/" xmlns:xsi="http://www.w3.org/2001/XMLSchema-instance" xsi:type="dcterms:W3CDTF">2026-09-06T19:29:40Z</dcterms:modified>
</cp:coreProperties>
</file>